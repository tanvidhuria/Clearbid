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  <sheet name="Compli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<sst xmlns="http://schemas.openxmlformats.org/spreadsheetml/2006/main" count="190" uniqueCount="141">
  <si>
    <t xml:space="preserve">SAFEGUARD INDUSTRIAL SUPPLIES</t>
  </si>
  <si>
    <t xml:space="preserve">Unit 14, Marol Industrial Estate, Andheri (E), Mumbai 400059  |  GSTIN: 27AAKCS4821M1Z6</t>
  </si>
  <si>
    <t xml:space="preserve">Authorised distributors of industrial safety products since 2004</t>
  </si>
  <si>
    <t xml:space="preserve">To: Kaveri Foods Pvt Ltd, Kind Attn: Ms. Riya Sharma</t>
  </si>
  <si>
    <t xml:space="preserve">Quote No: SG/Q/26-27/0412   Date: 11.09.2026</t>
  </si>
  <si>
    <t xml:space="preserve">Ref: Your enquiry KF-PPE-FY27 dated 08.09.2026. We are pleased to quote as under in our standard format.</t>
  </si>
  <si>
    <t xml:space="preserve">Sr</t>
  </si>
  <si>
    <t xml:space="preserve">Item Code</t>
  </si>
  <si>
    <t xml:space="preserve">Product Description</t>
  </si>
  <si>
    <t xml:space="preserve">Make</t>
  </si>
  <si>
    <t xml:space="preserve">UOM</t>
  </si>
  <si>
    <t xml:space="preserve">Qty (UOM)</t>
  </si>
  <si>
    <t xml:space="preserve">Rate (₹)</t>
  </si>
  <si>
    <t xml:space="preserve">GST %</t>
  </si>
  <si>
    <t xml:space="preserve">Rate incl. GST (₹)</t>
  </si>
  <si>
    <t xml:space="preserve">Amount excl. GST (₹)</t>
  </si>
  <si>
    <t xml:space="preserve">Remarks</t>
  </si>
  <si>
    <t xml:space="preserve">HAND PROTECTION</t>
  </si>
  <si>
    <t xml:space="preserve">SG-CUT5</t>
  </si>
  <si>
    <t xml:space="preserve">Cut Level-5 Glove HPPE/PU (SG-CUT5)</t>
  </si>
  <si>
    <t xml:space="preserve">SafeGuard</t>
  </si>
  <si>
    <t xml:space="preserve">Dozen pair</t>
  </si>
  <si>
    <t xml:space="preserve">EN 388 4X43C</t>
  </si>
  <si>
    <t xml:space="preserve">SG-135</t>
  </si>
  <si>
    <t xml:space="preserve">Nitrile Exam Glove PF Blue - M</t>
  </si>
  <si>
    <t xml:space="preserve">Box (100 pcs)</t>
  </si>
  <si>
    <t xml:space="preserve">SG-142</t>
  </si>
  <si>
    <t xml:space="preserve">Nitrile Exam Glove PF Blue - L</t>
  </si>
  <si>
    <t xml:space="preserve">SG-156</t>
  </si>
  <si>
    <t xml:space="preserve">Cotton Knitted Hand Gloves 60gm</t>
  </si>
  <si>
    <t xml:space="preserve">SG-163</t>
  </si>
  <si>
    <t xml:space="preserve">Leather Palm Gloves Knit Wrist</t>
  </si>
  <si>
    <t xml:space="preserve">SG-170</t>
  </si>
  <si>
    <t xml:space="preserve">Aramid Heat Glove 350°C 14"</t>
  </si>
  <si>
    <t xml:space="preserve">SG-177</t>
  </si>
  <si>
    <t xml:space="preserve">Nitrile Gauntlet 15mil Flocklined</t>
  </si>
  <si>
    <t xml:space="preserve">HEAD, EYE &amp; FACE</t>
  </si>
  <si>
    <t xml:space="preserve">SG-100</t>
  </si>
  <si>
    <t xml:space="preserve">SG-Pro Helmet Ratchet Type (ISI) - White</t>
  </si>
  <si>
    <t xml:space="preserve">Nos</t>
  </si>
  <si>
    <t xml:space="preserve">SG-107</t>
  </si>
  <si>
    <t xml:space="preserve">SG-Pro Helmet Pinlock (ISI) - Yellow</t>
  </si>
  <si>
    <t xml:space="preserve">SG-128</t>
  </si>
  <si>
    <t xml:space="preserve">Safety Spec Clear SG-202 (EN166)</t>
  </si>
  <si>
    <t xml:space="preserve">SG-121</t>
  </si>
  <si>
    <t xml:space="preserve">Chemical Splash Goggle Anti Fog (EN166)</t>
  </si>
  <si>
    <t xml:space="preserve">SG-114</t>
  </si>
  <si>
    <t xml:space="preserve">Face Shield PC 8" with Head Gear</t>
  </si>
  <si>
    <t xml:space="preserve">FOOT PROTECTION</t>
  </si>
  <si>
    <t xml:space="preserve">SG-184</t>
  </si>
  <si>
    <t xml:space="preserve">Safety Shoe SG-Trek Steel Toe (ISI)</t>
  </si>
  <si>
    <t xml:space="preserve">Pair</t>
  </si>
  <si>
    <t xml:space="preserve">Sizes 6-11, assorted</t>
  </si>
  <si>
    <t xml:space="preserve">SG-191</t>
  </si>
  <si>
    <t xml:space="preserve">Safety Shoe SG-Glide Slip-on ESD (ISI)</t>
  </si>
  <si>
    <t xml:space="preserve">SG-198</t>
  </si>
  <si>
    <t xml:space="preserve">PVC Gumboot Steel Toe White 14"</t>
  </si>
  <si>
    <t xml:space="preserve">RESPIRATORY &amp; HEARING</t>
  </si>
  <si>
    <t xml:space="preserve">SG-219</t>
  </si>
  <si>
    <t xml:space="preserve">N95 Mask with Valve (IS 9473)</t>
  </si>
  <si>
    <t xml:space="preserve">Box (20 pcs)</t>
  </si>
  <si>
    <t xml:space="preserve">SG-226</t>
  </si>
  <si>
    <t xml:space="preserve">Surgical Mask 3 Ply Earloop</t>
  </si>
  <si>
    <t xml:space="preserve">Box (50 pcs)</t>
  </si>
  <si>
    <t xml:space="preserve">SG-233</t>
  </si>
  <si>
    <t xml:space="preserve">Half Mask Twin Cartridge w/ OV Filters</t>
  </si>
  <si>
    <t xml:space="preserve">SG-205</t>
  </si>
  <si>
    <t xml:space="preserve">Ear Plug Foam Corded NRR29</t>
  </si>
  <si>
    <t xml:space="preserve">Pkt (200 prs)</t>
  </si>
  <si>
    <t xml:space="preserve">SG-212</t>
  </si>
  <si>
    <t xml:space="preserve">Ear Muff NRR25 SG-Quiet</t>
  </si>
  <si>
    <t xml:space="preserve">BODY &amp; FALL PROTECTION</t>
  </si>
  <si>
    <t xml:space="preserve">SG-247</t>
  </si>
  <si>
    <t xml:space="preserve">Coverall Cotton 240GSM Navy w/ Tape</t>
  </si>
  <si>
    <t xml:space="preserve">SG-254</t>
  </si>
  <si>
    <t xml:space="preserve">Disposable Coverall Type 5/6 Hooded</t>
  </si>
  <si>
    <t xml:space="preserve">SG-240</t>
  </si>
  <si>
    <t xml:space="preserve">Reflective Jacket Orange Class-2</t>
  </si>
  <si>
    <t xml:space="preserve">SG-261</t>
  </si>
  <si>
    <t xml:space="preserve">Rain Suit PVC 0.35mm (Jkt+Trouser)</t>
  </si>
  <si>
    <t xml:space="preserve">Set</t>
  </si>
  <si>
    <t xml:space="preserve">SG-268</t>
  </si>
  <si>
    <t xml:space="preserve">Full Body Harness Double Lanyard</t>
  </si>
  <si>
    <t xml:space="preserve">ProSafe</t>
  </si>
  <si>
    <t xml:space="preserve">Alternate make offered: ProSafe FBH-02 (IS 3521 certified). Specified item not available.</t>
  </si>
  <si>
    <t xml:space="preserve">SG-275</t>
  </si>
  <si>
    <t xml:space="preserve">Lanyard w/ Shock Absorber 1.8m</t>
  </si>
  <si>
    <t xml:space="preserve">HYGIENE / FOOD INDUSTRY</t>
  </si>
  <si>
    <t xml:space="preserve">SG-282</t>
  </si>
  <si>
    <t xml:space="preserve">Bouffant Cap 21" White</t>
  </si>
  <si>
    <t xml:space="preserve">Ctn (1000 pcs)</t>
  </si>
  <si>
    <t xml:space="preserve">SG-289</t>
  </si>
  <si>
    <t xml:space="preserve">Beard Mask Non-Woven White</t>
  </si>
  <si>
    <t xml:space="preserve">SG-296</t>
  </si>
  <si>
    <t xml:space="preserve">Shoe Cover PE Blue</t>
  </si>
  <si>
    <t xml:space="preserve">SG-303</t>
  </si>
  <si>
    <t xml:space="preserve">Apron PVC White 1000x1200</t>
  </si>
  <si>
    <t xml:space="preserve">Total (excl. GST)</t>
  </si>
  <si>
    <t xml:space="preserve">GST @18%</t>
  </si>
  <si>
    <t xml:space="preserve">Grand Total</t>
  </si>
  <si>
    <t xml:space="preserve">TERMS &amp; CONDITIONS:</t>
  </si>
  <si>
    <t xml:space="preserve">1. Prices are ex-our godown, but freight up to your Pune, Sonipat and Hosur plants is included (door delivery).</t>
  </si>
  <si>
    <t xml:space="preserve">2. GST extra as applicable (18%).</t>
  </si>
  <si>
    <t xml:space="preserve">3. Payment: 60 days from date of delivery.</t>
  </si>
  <si>
    <t xml:space="preserve">4. Delivery: 12-14 days from receipt of PO.</t>
  </si>
  <si>
    <t xml:space="preserve">5. Validity: 90 days.</t>
  </si>
  <si>
    <t xml:space="preserve">6. Qty column shown in our pack UOM for your annual requirement.</t>
  </si>
  <si>
    <t xml:space="preserve">For SafeGuard Industrial Supplies,  Nikhil Rao (Sales Manager)  +91 98200 41127</t>
  </si>
  <si>
    <t xml:space="preserve">Ref</t>
  </si>
  <si>
    <t xml:space="preserve">Question (summary)</t>
  </si>
  <si>
    <t xml:space="preserve">SafeGuard response</t>
  </si>
  <si>
    <t xml:space="preserve">Q1</t>
  </si>
  <si>
    <t xml:space="preserve">ISI mark on helmets &amp; shoes</t>
  </si>
  <si>
    <t xml:space="preserve">Yes. Helmets: BIS CM/L-7100045321 (IS 2925). Shoes: BIS CM/L-7100052210 (IS 15298). Copies attached.</t>
  </si>
  <si>
    <t xml:space="preserve">Q2</t>
  </si>
  <si>
    <t xml:space="preserve">EN 388 test report</t>
  </si>
  <si>
    <t xml:space="preserve">Attached (Veritest Labs report VT/EN388/25/1182).</t>
  </si>
  <si>
    <t xml:space="preserve">Q3</t>
  </si>
  <si>
    <t xml:space="preserve">ISO 9001</t>
  </si>
  <si>
    <t xml:space="preserve">Yes, certificate attached. Valid till Nov 2027.</t>
  </si>
  <si>
    <t xml:space="preserve">Q4</t>
  </si>
  <si>
    <t xml:space="preserve">Lead time</t>
  </si>
  <si>
    <t xml:space="preserve">12-14 days from PO</t>
  </si>
  <si>
    <t xml:space="preserve">Q5</t>
  </si>
  <si>
    <t xml:space="preserve">MOQ</t>
  </si>
  <si>
    <t xml:space="preserve">No MOQ on call-off orders; standard pack quantities apply</t>
  </si>
  <si>
    <t xml:space="preserve">Q6</t>
  </si>
  <si>
    <t xml:space="preserve">Payment terms</t>
  </si>
  <si>
    <t xml:space="preserve">60 days, agreed</t>
  </si>
  <si>
    <t xml:space="preserve">Q7</t>
  </si>
  <si>
    <t xml:space="preserve">Delivery to 3 plants</t>
  </si>
  <si>
    <t xml:space="preserve">Yes, door delivery to Pune, Sonipat and Hosur included</t>
  </si>
  <si>
    <t xml:space="preserve">Q8</t>
  </si>
  <si>
    <t xml:space="preserve">Replacement policy</t>
  </si>
  <si>
    <t xml:space="preserve">Free replacement within 30 days of delivery for manufacturing defects</t>
  </si>
  <si>
    <t xml:space="preserve">Q9</t>
  </si>
  <si>
    <t xml:space="preserve">Shelf life of disposables</t>
  </si>
  <si>
    <t xml:space="preserve">Minimum 18 months remaining at delivery</t>
  </si>
  <si>
    <t xml:space="preserve">Q10</t>
  </si>
  <si>
    <t xml:space="preserve">Samples</t>
  </si>
  <si>
    <t xml:space="preserve">Yes, within 5 working days, free of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</si>
</sst>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DCDB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4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  <c r="G5" s="3" t="s">
        <v>4</v>
      </c>
      <c r="H5" s="3"/>
      <c r="I5" s="3"/>
      <c r="J5" s="3"/>
      <c r="K5" s="3"/>
    </row>
    <row r="6" customFormat="false" ht="15" hidden="false" customHeight="false" outlineLevel="0" collapsed="false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8" customFormat="false" ht="22.35" hidden="false" customHeight="false" outlineLevel="0" collapsed="false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</row>
    <row r="9" customFormat="false" ht="15" hidden="false" customHeight="false" outlineLevel="0" collapsed="false">
      <c r="A9" s="5" t="s">
        <v>17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6" t="n">
        <v>1</v>
      </c>
      <c r="B10" s="6" t="s">
        <v>18</v>
      </c>
      <c r="C10" s="6" t="s">
        <v>19</v>
      </c>
      <c r="D10" s="6" t="s">
        <v>20</v>
      </c>
      <c r="E10" s="6" t="s">
        <v>21</v>
      </c>
      <c r="F10" s="7" t="n">
        <v>500</v>
      </c>
      <c r="G10" s="8" t="n">
        <v>1662</v>
      </c>
      <c r="H10" s="9" t="n">
        <v>0.18</v>
      </c>
      <c r="I10" s="8" t="n">
        <f aca="false">G10*(1+H10)</f>
        <v>1961.16</v>
      </c>
      <c r="J10" s="8" t="n">
        <f aca="false">F10*G10</f>
        <v>831000</v>
      </c>
      <c r="K10" s="6" t="s">
        <v>22</v>
      </c>
    </row>
    <row r="11" customFormat="false" ht="15" hidden="false" customHeight="false" outlineLevel="0" collapsed="false">
      <c r="A11" s="6" t="n">
        <v>2</v>
      </c>
      <c r="B11" s="6" t="s">
        <v>23</v>
      </c>
      <c r="C11" s="6" t="s">
        <v>24</v>
      </c>
      <c r="D11" s="6" t="s">
        <v>20</v>
      </c>
      <c r="E11" s="6" t="s">
        <v>25</v>
      </c>
      <c r="F11" s="7" t="n">
        <v>1500</v>
      </c>
      <c r="G11" s="8" t="n">
        <v>509</v>
      </c>
      <c r="H11" s="9" t="n">
        <v>0.18</v>
      </c>
      <c r="I11" s="8" t="n">
        <f aca="false">G11*(1+H11)</f>
        <v>600.62</v>
      </c>
      <c r="J11" s="8" t="n">
        <f aca="false">F11*G11</f>
        <v>763500</v>
      </c>
      <c r="K11" s="6"/>
    </row>
    <row r="12" customFormat="false" ht="15" hidden="false" customHeight="false" outlineLevel="0" collapsed="false">
      <c r="A12" s="6" t="n">
        <v>3</v>
      </c>
      <c r="B12" s="6" t="s">
        <v>26</v>
      </c>
      <c r="C12" s="6" t="s">
        <v>27</v>
      </c>
      <c r="D12" s="6" t="s">
        <v>20</v>
      </c>
      <c r="E12" s="6" t="s">
        <v>25</v>
      </c>
      <c r="F12" s="7" t="n">
        <v>1200</v>
      </c>
      <c r="G12" s="8" t="n">
        <v>580</v>
      </c>
      <c r="H12" s="9" t="n">
        <v>0.18</v>
      </c>
      <c r="I12" s="8" t="n">
        <f aca="false">G12*(1+H12)</f>
        <v>684.4</v>
      </c>
      <c r="J12" s="8" t="n">
        <f aca="false">F12*G12</f>
        <v>696000</v>
      </c>
      <c r="K12" s="6"/>
    </row>
    <row r="13" customFormat="false" ht="15" hidden="false" customHeight="false" outlineLevel="0" collapsed="false">
      <c r="A13" s="6" t="n">
        <v>4</v>
      </c>
      <c r="B13" s="6" t="s">
        <v>28</v>
      </c>
      <c r="C13" s="6" t="s">
        <v>29</v>
      </c>
      <c r="D13" s="6" t="s">
        <v>20</v>
      </c>
      <c r="E13" s="6" t="s">
        <v>21</v>
      </c>
      <c r="F13" s="7" t="n">
        <v>2000</v>
      </c>
      <c r="G13" s="8" t="n">
        <v>136</v>
      </c>
      <c r="H13" s="9" t="n">
        <v>0.18</v>
      </c>
      <c r="I13" s="8" t="n">
        <f aca="false">G13*(1+H13)</f>
        <v>160.48</v>
      </c>
      <c r="J13" s="8" t="n">
        <f aca="false">F13*G13</f>
        <v>272000</v>
      </c>
      <c r="K13" s="6"/>
    </row>
    <row r="14" customFormat="false" ht="15" hidden="false" customHeight="false" outlineLevel="0" collapsed="false">
      <c r="A14" s="6" t="n">
        <v>5</v>
      </c>
      <c r="B14" s="6" t="s">
        <v>30</v>
      </c>
      <c r="C14" s="6" t="s">
        <v>31</v>
      </c>
      <c r="D14" s="6" t="s">
        <v>20</v>
      </c>
      <c r="E14" s="6" t="s">
        <v>21</v>
      </c>
      <c r="F14" s="7" t="n">
        <v>334</v>
      </c>
      <c r="G14" s="8" t="n">
        <v>802</v>
      </c>
      <c r="H14" s="9" t="n">
        <v>0.18</v>
      </c>
      <c r="I14" s="8" t="n">
        <f aca="false">G14*(1+H14)</f>
        <v>946.36</v>
      </c>
      <c r="J14" s="8" t="n">
        <f aca="false">F14*G14</f>
        <v>267868</v>
      </c>
      <c r="K14" s="6"/>
    </row>
    <row r="15" customFormat="false" ht="15" hidden="false" customHeight="false" outlineLevel="0" collapsed="false">
      <c r="A15" s="6" t="n">
        <v>6</v>
      </c>
      <c r="B15" s="6" t="s">
        <v>32</v>
      </c>
      <c r="C15" s="6" t="s">
        <v>33</v>
      </c>
      <c r="D15" s="6" t="s">
        <v>20</v>
      </c>
      <c r="E15" s="6" t="s">
        <v>21</v>
      </c>
      <c r="F15" s="7" t="n">
        <v>50</v>
      </c>
      <c r="G15" s="8" t="n">
        <v>4737</v>
      </c>
      <c r="H15" s="9" t="n">
        <v>0.18</v>
      </c>
      <c r="I15" s="8" t="n">
        <f aca="false">G15*(1+H15)</f>
        <v>5589.66</v>
      </c>
      <c r="J15" s="8" t="n">
        <f aca="false">F15*G15</f>
        <v>236850</v>
      </c>
      <c r="K15" s="6"/>
    </row>
    <row r="16" customFormat="false" ht="15" hidden="false" customHeight="false" outlineLevel="0" collapsed="false">
      <c r="A16" s="6" t="n">
        <v>7</v>
      </c>
      <c r="B16" s="6" t="s">
        <v>34</v>
      </c>
      <c r="C16" s="6" t="s">
        <v>35</v>
      </c>
      <c r="D16" s="6" t="s">
        <v>20</v>
      </c>
      <c r="E16" s="6" t="s">
        <v>21</v>
      </c>
      <c r="F16" s="7" t="n">
        <v>150</v>
      </c>
      <c r="G16" s="8" t="n">
        <v>1355</v>
      </c>
      <c r="H16" s="9" t="n">
        <v>0.18</v>
      </c>
      <c r="I16" s="8" t="n">
        <f aca="false">G16*(1+H16)</f>
        <v>1598.9</v>
      </c>
      <c r="J16" s="8" t="n">
        <f aca="false">F16*G16</f>
        <v>203250</v>
      </c>
      <c r="K16" s="6"/>
    </row>
    <row r="17" customFormat="false" ht="15" hidden="false" customHeight="false" outlineLevel="0" collapsed="false">
      <c r="A17" s="5" t="s">
        <v>36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6" t="n">
        <v>8</v>
      </c>
      <c r="B18" s="6" t="s">
        <v>37</v>
      </c>
      <c r="C18" s="6" t="s">
        <v>38</v>
      </c>
      <c r="D18" s="6" t="s">
        <v>20</v>
      </c>
      <c r="E18" s="6" t="s">
        <v>39</v>
      </c>
      <c r="F18" s="7" t="n">
        <v>1800</v>
      </c>
      <c r="G18" s="8" t="n">
        <v>196</v>
      </c>
      <c r="H18" s="9" t="n">
        <v>0.18</v>
      </c>
      <c r="I18" s="8" t="n">
        <f aca="false">G18*(1+H18)</f>
        <v>231.28</v>
      </c>
      <c r="J18" s="8" t="n">
        <f aca="false">F18*G18</f>
        <v>352800</v>
      </c>
      <c r="K18" s="6"/>
    </row>
    <row r="19" customFormat="false" ht="15" hidden="false" customHeight="false" outlineLevel="0" collapsed="false">
      <c r="A19" s="6" t="n">
        <v>9</v>
      </c>
      <c r="B19" s="6" t="s">
        <v>40</v>
      </c>
      <c r="C19" s="6" t="s">
        <v>41</v>
      </c>
      <c r="D19" s="6" t="s">
        <v>20</v>
      </c>
      <c r="E19" s="6" t="s">
        <v>39</v>
      </c>
      <c r="F19" s="7" t="n">
        <v>1200</v>
      </c>
      <c r="G19" s="8" t="n">
        <v>154</v>
      </c>
      <c r="H19" s="9" t="n">
        <v>0.18</v>
      </c>
      <c r="I19" s="8" t="n">
        <f aca="false">G19*(1+H19)</f>
        <v>181.72</v>
      </c>
      <c r="J19" s="8" t="n">
        <f aca="false">F19*G19</f>
        <v>184800</v>
      </c>
      <c r="K19" s="6"/>
    </row>
    <row r="20" customFormat="false" ht="15" hidden="false" customHeight="false" outlineLevel="0" collapsed="false">
      <c r="A20" s="6" t="n">
        <v>10</v>
      </c>
      <c r="B20" s="6" t="s">
        <v>42</v>
      </c>
      <c r="C20" s="6" t="s">
        <v>43</v>
      </c>
      <c r="D20" s="6" t="s">
        <v>20</v>
      </c>
      <c r="E20" s="6" t="s">
        <v>39</v>
      </c>
      <c r="F20" s="7" t="n">
        <v>2400</v>
      </c>
      <c r="G20" s="8" t="n">
        <v>59.5</v>
      </c>
      <c r="H20" s="9" t="n">
        <v>0.18</v>
      </c>
      <c r="I20" s="8" t="n">
        <f aca="false">G20*(1+H20)</f>
        <v>70.21</v>
      </c>
      <c r="J20" s="8" t="n">
        <f aca="false">F20*G20</f>
        <v>142800</v>
      </c>
      <c r="K20" s="6"/>
    </row>
    <row r="21" customFormat="false" ht="15" hidden="false" customHeight="false" outlineLevel="0" collapsed="false">
      <c r="A21" s="6" t="n">
        <v>11</v>
      </c>
      <c r="B21" s="6" t="s">
        <v>44</v>
      </c>
      <c r="C21" s="6" t="s">
        <v>45</v>
      </c>
      <c r="D21" s="6" t="s">
        <v>20</v>
      </c>
      <c r="E21" s="6" t="s">
        <v>39</v>
      </c>
      <c r="F21" s="7" t="n">
        <v>1500</v>
      </c>
      <c r="G21" s="8" t="n">
        <v>97</v>
      </c>
      <c r="H21" s="9" t="n">
        <v>0.18</v>
      </c>
      <c r="I21" s="8" t="n">
        <f aca="false">G21*(1+H21)</f>
        <v>114.46</v>
      </c>
      <c r="J21" s="8" t="n">
        <f aca="false">F21*G21</f>
        <v>145500</v>
      </c>
      <c r="K21" s="6"/>
    </row>
    <row r="22" customFormat="false" ht="15" hidden="false" customHeight="false" outlineLevel="0" collapsed="false">
      <c r="A22" s="6" t="n">
        <v>12</v>
      </c>
      <c r="B22" s="6" t="s">
        <v>46</v>
      </c>
      <c r="C22" s="6" t="s">
        <v>47</v>
      </c>
      <c r="D22" s="6" t="s">
        <v>20</v>
      </c>
      <c r="E22" s="6" t="s">
        <v>39</v>
      </c>
      <c r="F22" s="7" t="n">
        <v>300</v>
      </c>
      <c r="G22" s="8" t="n">
        <v>152</v>
      </c>
      <c r="H22" s="9" t="n">
        <v>0.18</v>
      </c>
      <c r="I22" s="8" t="n">
        <f aca="false">G22*(1+H22)</f>
        <v>179.36</v>
      </c>
      <c r="J22" s="8" t="n">
        <f aca="false">F22*G22</f>
        <v>45600</v>
      </c>
      <c r="K22" s="6"/>
    </row>
    <row r="23" customFormat="false" ht="15" hidden="false" customHeight="false" outlineLevel="0" collapsed="false">
      <c r="A23" s="5" t="s">
        <v>48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6" t="n">
        <v>13</v>
      </c>
      <c r="B24" s="6" t="s">
        <v>49</v>
      </c>
      <c r="C24" s="6" t="s">
        <v>50</v>
      </c>
      <c r="D24" s="6" t="s">
        <v>20</v>
      </c>
      <c r="E24" s="6" t="s">
        <v>51</v>
      </c>
      <c r="F24" s="7" t="n">
        <v>2200</v>
      </c>
      <c r="G24" s="8" t="n">
        <v>784</v>
      </c>
      <c r="H24" s="9" t="n">
        <v>0.18</v>
      </c>
      <c r="I24" s="8" t="n">
        <f aca="false">G24*(1+H24)</f>
        <v>925.12</v>
      </c>
      <c r="J24" s="8" t="n">
        <f aca="false">F24*G24</f>
        <v>1724800</v>
      </c>
      <c r="K24" s="6" t="s">
        <v>52</v>
      </c>
    </row>
    <row r="25" customFormat="false" ht="15" hidden="false" customHeight="false" outlineLevel="0" collapsed="false">
      <c r="A25" s="6" t="n">
        <v>14</v>
      </c>
      <c r="B25" s="6" t="s">
        <v>53</v>
      </c>
      <c r="C25" s="6" t="s">
        <v>54</v>
      </c>
      <c r="D25" s="6" t="s">
        <v>20</v>
      </c>
      <c r="E25" s="6" t="s">
        <v>51</v>
      </c>
      <c r="F25" s="7" t="n">
        <v>800</v>
      </c>
      <c r="G25" s="8" t="n">
        <v>855</v>
      </c>
      <c r="H25" s="9" t="n">
        <v>0.18</v>
      </c>
      <c r="I25" s="8" t="n">
        <f aca="false">G25*(1+H25)</f>
        <v>1008.9</v>
      </c>
      <c r="J25" s="8" t="n">
        <f aca="false">F25*G25</f>
        <v>684000</v>
      </c>
      <c r="K25" s="6"/>
    </row>
    <row r="26" customFormat="false" ht="15" hidden="false" customHeight="false" outlineLevel="0" collapsed="false">
      <c r="A26" s="6" t="n">
        <v>15</v>
      </c>
      <c r="B26" s="6" t="s">
        <v>55</v>
      </c>
      <c r="C26" s="6" t="s">
        <v>56</v>
      </c>
      <c r="D26" s="6" t="s">
        <v>20</v>
      </c>
      <c r="E26" s="6" t="s">
        <v>51</v>
      </c>
      <c r="F26" s="7" t="n">
        <v>700</v>
      </c>
      <c r="G26" s="8" t="n">
        <v>520</v>
      </c>
      <c r="H26" s="9" t="n">
        <v>0.18</v>
      </c>
      <c r="I26" s="8" t="n">
        <f aca="false">G26*(1+H26)</f>
        <v>613.6</v>
      </c>
      <c r="J26" s="8" t="n">
        <f aca="false">F26*G26</f>
        <v>364000</v>
      </c>
      <c r="K26" s="6"/>
    </row>
    <row r="27" customFormat="false" ht="15" hidden="false" customHeight="false" outlineLevel="0" collapsed="false">
      <c r="A27" s="5" t="s">
        <v>57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6" t="n">
        <v>16</v>
      </c>
      <c r="B28" s="6" t="s">
        <v>58</v>
      </c>
      <c r="C28" s="6" t="s">
        <v>59</v>
      </c>
      <c r="D28" s="6" t="s">
        <v>20</v>
      </c>
      <c r="E28" s="6" t="s">
        <v>60</v>
      </c>
      <c r="F28" s="7" t="n">
        <v>1000</v>
      </c>
      <c r="G28" s="8" t="n">
        <v>697</v>
      </c>
      <c r="H28" s="9" t="n">
        <v>0.18</v>
      </c>
      <c r="I28" s="8" t="n">
        <f aca="false">G28*(1+H28)</f>
        <v>822.46</v>
      </c>
      <c r="J28" s="8" t="n">
        <f aca="false">F28*G28</f>
        <v>697000</v>
      </c>
      <c r="K28" s="6"/>
    </row>
    <row r="29" customFormat="false" ht="15" hidden="false" customHeight="false" outlineLevel="0" collapsed="false">
      <c r="A29" s="6" t="n">
        <v>17</v>
      </c>
      <c r="B29" s="6" t="s">
        <v>61</v>
      </c>
      <c r="C29" s="6" t="s">
        <v>62</v>
      </c>
      <c r="D29" s="6" t="s">
        <v>20</v>
      </c>
      <c r="E29" s="6" t="s">
        <v>63</v>
      </c>
      <c r="F29" s="7" t="n">
        <v>3000</v>
      </c>
      <c r="G29" s="8" t="n">
        <v>56.5</v>
      </c>
      <c r="H29" s="9" t="n">
        <v>0.18</v>
      </c>
      <c r="I29" s="8" t="n">
        <f aca="false">G29*(1+H29)</f>
        <v>66.67</v>
      </c>
      <c r="J29" s="8" t="n">
        <f aca="false">F29*G29</f>
        <v>169500</v>
      </c>
      <c r="K29" s="6"/>
    </row>
    <row r="30" customFormat="false" ht="15" hidden="false" customHeight="false" outlineLevel="0" collapsed="false">
      <c r="A30" s="6" t="n">
        <v>18</v>
      </c>
      <c r="B30" s="6" t="s">
        <v>64</v>
      </c>
      <c r="C30" s="6" t="s">
        <v>65</v>
      </c>
      <c r="D30" s="6" t="s">
        <v>20</v>
      </c>
      <c r="E30" s="6" t="s">
        <v>39</v>
      </c>
      <c r="F30" s="7" t="n">
        <v>150</v>
      </c>
      <c r="G30" s="8" t="n">
        <v>1561</v>
      </c>
      <c r="H30" s="9" t="n">
        <v>0.18</v>
      </c>
      <c r="I30" s="8" t="n">
        <f aca="false">G30*(1+H30)</f>
        <v>1841.98</v>
      </c>
      <c r="J30" s="8" t="n">
        <f aca="false">F30*G30</f>
        <v>234150</v>
      </c>
      <c r="K30" s="6"/>
    </row>
    <row r="31" customFormat="false" ht="15" hidden="false" customHeight="false" outlineLevel="0" collapsed="false">
      <c r="A31" s="6" t="n">
        <v>19</v>
      </c>
      <c r="B31" s="6" t="s">
        <v>66</v>
      </c>
      <c r="C31" s="6" t="s">
        <v>67</v>
      </c>
      <c r="D31" s="6" t="s">
        <v>20</v>
      </c>
      <c r="E31" s="6" t="s">
        <v>68</v>
      </c>
      <c r="F31" s="7" t="n">
        <v>150</v>
      </c>
      <c r="G31" s="8" t="n">
        <v>812</v>
      </c>
      <c r="H31" s="9" t="n">
        <v>0.18</v>
      </c>
      <c r="I31" s="8" t="n">
        <f aca="false">G31*(1+H31)</f>
        <v>958.16</v>
      </c>
      <c r="J31" s="8" t="n">
        <f aca="false">F31*G31</f>
        <v>121800</v>
      </c>
      <c r="K31" s="6"/>
    </row>
    <row r="32" customFormat="false" ht="15" hidden="false" customHeight="false" outlineLevel="0" collapsed="false">
      <c r="A32" s="6" t="n">
        <v>20</v>
      </c>
      <c r="B32" s="6" t="s">
        <v>69</v>
      </c>
      <c r="C32" s="6" t="s">
        <v>70</v>
      </c>
      <c r="D32" s="6" t="s">
        <v>20</v>
      </c>
      <c r="E32" s="6" t="s">
        <v>39</v>
      </c>
      <c r="F32" s="7" t="n">
        <v>400</v>
      </c>
      <c r="G32" s="8" t="n">
        <v>511</v>
      </c>
      <c r="H32" s="9" t="n">
        <v>0.18</v>
      </c>
      <c r="I32" s="8" t="n">
        <f aca="false">G32*(1+H32)</f>
        <v>602.98</v>
      </c>
      <c r="J32" s="8" t="n">
        <f aca="false">F32*G32</f>
        <v>204400</v>
      </c>
      <c r="K32" s="6"/>
    </row>
    <row r="33" customFormat="false" ht="15" hidden="false" customHeight="false" outlineLevel="0" collapsed="false">
      <c r="A33" s="5" t="s">
        <v>71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false" outlineLevel="0" collapsed="false">
      <c r="A34" s="6" t="n">
        <v>21</v>
      </c>
      <c r="B34" s="6" t="s">
        <v>72</v>
      </c>
      <c r="C34" s="6" t="s">
        <v>73</v>
      </c>
      <c r="D34" s="6" t="s">
        <v>20</v>
      </c>
      <c r="E34" s="6" t="s">
        <v>39</v>
      </c>
      <c r="F34" s="7" t="n">
        <v>3000</v>
      </c>
      <c r="G34" s="8" t="n">
        <v>687</v>
      </c>
      <c r="H34" s="9" t="n">
        <v>0.18</v>
      </c>
      <c r="I34" s="8" t="n">
        <f aca="false">G34*(1+H34)</f>
        <v>810.66</v>
      </c>
      <c r="J34" s="8" t="n">
        <f aca="false">F34*G34</f>
        <v>2061000</v>
      </c>
      <c r="K34" s="6"/>
    </row>
    <row r="35" customFormat="false" ht="15" hidden="false" customHeight="false" outlineLevel="0" collapsed="false">
      <c r="A35" s="6" t="n">
        <v>22</v>
      </c>
      <c r="B35" s="6" t="s">
        <v>74</v>
      </c>
      <c r="C35" s="6" t="s">
        <v>75</v>
      </c>
      <c r="D35" s="6" t="s">
        <v>20</v>
      </c>
      <c r="E35" s="6" t="s">
        <v>39</v>
      </c>
      <c r="F35" s="7" t="n">
        <v>2000</v>
      </c>
      <c r="G35" s="8" t="n">
        <v>220</v>
      </c>
      <c r="H35" s="9" t="n">
        <v>0.18</v>
      </c>
      <c r="I35" s="8" t="n">
        <f aca="false">G35*(1+H35)</f>
        <v>259.6</v>
      </c>
      <c r="J35" s="8" t="n">
        <f aca="false">F35*G35</f>
        <v>440000</v>
      </c>
      <c r="K35" s="6"/>
    </row>
    <row r="36" customFormat="false" ht="15" hidden="false" customHeight="false" outlineLevel="0" collapsed="false">
      <c r="A36" s="6" t="n">
        <v>23</v>
      </c>
      <c r="B36" s="6" t="s">
        <v>76</v>
      </c>
      <c r="C36" s="6" t="s">
        <v>77</v>
      </c>
      <c r="D36" s="6" t="s">
        <v>20</v>
      </c>
      <c r="E36" s="6" t="s">
        <v>39</v>
      </c>
      <c r="F36" s="7" t="n">
        <v>2500</v>
      </c>
      <c r="G36" s="8" t="n">
        <v>91</v>
      </c>
      <c r="H36" s="9" t="n">
        <v>0.18</v>
      </c>
      <c r="I36" s="8" t="n">
        <f aca="false">G36*(1+H36)</f>
        <v>107.38</v>
      </c>
      <c r="J36" s="8" t="n">
        <f aca="false">F36*G36</f>
        <v>227500</v>
      </c>
      <c r="K36" s="6"/>
    </row>
    <row r="37" customFormat="false" ht="15" hidden="false" customHeight="false" outlineLevel="0" collapsed="false">
      <c r="A37" s="6" t="n">
        <v>24</v>
      </c>
      <c r="B37" s="6" t="s">
        <v>78</v>
      </c>
      <c r="C37" s="6" t="s">
        <v>79</v>
      </c>
      <c r="D37" s="6" t="s">
        <v>20</v>
      </c>
      <c r="E37" s="6" t="s">
        <v>80</v>
      </c>
      <c r="F37" s="7" t="n">
        <v>900</v>
      </c>
      <c r="G37" s="8" t="n">
        <v>509</v>
      </c>
      <c r="H37" s="9" t="n">
        <v>0.18</v>
      </c>
      <c r="I37" s="8" t="n">
        <f aca="false">G37*(1+H37)</f>
        <v>600.62</v>
      </c>
      <c r="J37" s="8" t="n">
        <f aca="false">F37*G37</f>
        <v>458100</v>
      </c>
      <c r="K37" s="6"/>
    </row>
    <row r="38" customFormat="false" ht="15" hidden="false" customHeight="false" outlineLevel="0" collapsed="false">
      <c r="A38" s="6" t="n">
        <v>25</v>
      </c>
      <c r="B38" s="6" t="s">
        <v>81</v>
      </c>
      <c r="C38" s="6" t="s">
        <v>82</v>
      </c>
      <c r="D38" s="6" t="s">
        <v>83</v>
      </c>
      <c r="E38" s="6" t="s">
        <v>39</v>
      </c>
      <c r="F38" s="7" t="n">
        <v>250</v>
      </c>
      <c r="G38" s="8" t="n">
        <v>2821</v>
      </c>
      <c r="H38" s="9" t="n">
        <v>0.18</v>
      </c>
      <c r="I38" s="8" t="n">
        <f aca="false">G38*(1+H38)</f>
        <v>3328.78</v>
      </c>
      <c r="J38" s="8" t="n">
        <f aca="false">F38*G38</f>
        <v>705250</v>
      </c>
      <c r="K38" s="6" t="s">
        <v>84</v>
      </c>
    </row>
    <row r="39" customFormat="false" ht="15" hidden="false" customHeight="false" outlineLevel="0" collapsed="false">
      <c r="A39" s="6" t="n">
        <v>26</v>
      </c>
      <c r="B39" s="6" t="s">
        <v>85</v>
      </c>
      <c r="C39" s="6" t="s">
        <v>86</v>
      </c>
      <c r="D39" s="6" t="s">
        <v>20</v>
      </c>
      <c r="E39" s="6" t="s">
        <v>39</v>
      </c>
      <c r="F39" s="7" t="n">
        <v>250</v>
      </c>
      <c r="G39" s="8" t="n">
        <v>1370</v>
      </c>
      <c r="H39" s="9" t="n">
        <v>0.18</v>
      </c>
      <c r="I39" s="8" t="n">
        <f aca="false">G39*(1+H39)</f>
        <v>1616.6</v>
      </c>
      <c r="J39" s="8" t="n">
        <f aca="false">F39*G39</f>
        <v>342500</v>
      </c>
      <c r="K39" s="6"/>
    </row>
    <row r="40" customFormat="false" ht="15" hidden="false" customHeight="false" outlineLevel="0" collapsed="false">
      <c r="A40" s="5" t="s">
        <v>87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15" hidden="false" customHeight="false" outlineLevel="0" collapsed="false">
      <c r="A41" s="6" t="n">
        <v>27</v>
      </c>
      <c r="B41" s="6" t="s">
        <v>88</v>
      </c>
      <c r="C41" s="6" t="s">
        <v>89</v>
      </c>
      <c r="D41" s="6" t="s">
        <v>20</v>
      </c>
      <c r="E41" s="6" t="s">
        <v>90</v>
      </c>
      <c r="F41" s="7" t="n">
        <v>300</v>
      </c>
      <c r="G41" s="8" t="n">
        <v>396</v>
      </c>
      <c r="H41" s="9" t="n">
        <v>0.18</v>
      </c>
      <c r="I41" s="8" t="n">
        <f aca="false">G41*(1+H41)</f>
        <v>467.28</v>
      </c>
      <c r="J41" s="8" t="n">
        <f aca="false">F41*G41</f>
        <v>118800</v>
      </c>
      <c r="K41" s="6"/>
    </row>
    <row r="42" customFormat="false" ht="15" hidden="false" customHeight="false" outlineLevel="0" collapsed="false">
      <c r="A42" s="6" t="n">
        <v>28</v>
      </c>
      <c r="B42" s="6" t="s">
        <v>91</v>
      </c>
      <c r="C42" s="6" t="s">
        <v>92</v>
      </c>
      <c r="D42" s="6" t="s">
        <v>20</v>
      </c>
      <c r="E42" s="6" t="s">
        <v>90</v>
      </c>
      <c r="F42" s="7" t="n">
        <v>120</v>
      </c>
      <c r="G42" s="8" t="n">
        <v>613</v>
      </c>
      <c r="H42" s="9" t="n">
        <v>0.18</v>
      </c>
      <c r="I42" s="8" t="n">
        <f aca="false">G42*(1+H42)</f>
        <v>723.34</v>
      </c>
      <c r="J42" s="8" t="n">
        <f aca="false">F42*G42</f>
        <v>73560</v>
      </c>
      <c r="K42" s="6"/>
    </row>
    <row r="43" customFormat="false" ht="15" hidden="false" customHeight="false" outlineLevel="0" collapsed="false">
      <c r="A43" s="6" t="n">
        <v>29</v>
      </c>
      <c r="B43" s="6" t="s">
        <v>93</v>
      </c>
      <c r="C43" s="6" t="s">
        <v>94</v>
      </c>
      <c r="D43" s="6" t="s">
        <v>20</v>
      </c>
      <c r="E43" s="6" t="s">
        <v>90</v>
      </c>
      <c r="F43" s="7" t="n">
        <v>200</v>
      </c>
      <c r="G43" s="8" t="n">
        <v>370</v>
      </c>
      <c r="H43" s="9" t="n">
        <v>0.18</v>
      </c>
      <c r="I43" s="8" t="n">
        <f aca="false">G43*(1+H43)</f>
        <v>436.6</v>
      </c>
      <c r="J43" s="8" t="n">
        <f aca="false">F43*G43</f>
        <v>74000</v>
      </c>
      <c r="K43" s="6"/>
    </row>
    <row r="44" customFormat="false" ht="15" hidden="false" customHeight="false" outlineLevel="0" collapsed="false">
      <c r="A44" s="6" t="n">
        <v>30</v>
      </c>
      <c r="B44" s="6" t="s">
        <v>95</v>
      </c>
      <c r="C44" s="6" t="s">
        <v>96</v>
      </c>
      <c r="D44" s="6" t="s">
        <v>20</v>
      </c>
      <c r="E44" s="6" t="s">
        <v>39</v>
      </c>
      <c r="F44" s="7" t="n">
        <v>1500</v>
      </c>
      <c r="G44" s="8" t="n">
        <v>120</v>
      </c>
      <c r="H44" s="9" t="n">
        <v>0.18</v>
      </c>
      <c r="I44" s="8" t="n">
        <f aca="false">G44*(1+H44)</f>
        <v>141.6</v>
      </c>
      <c r="J44" s="8" t="n">
        <f aca="false">F44*G44</f>
        <v>180000</v>
      </c>
      <c r="K44" s="6"/>
    </row>
    <row r="46" customFormat="false" ht="15" hidden="false" customHeight="false" outlineLevel="0" collapsed="false">
      <c r="I46" s="10" t="s">
        <v>97</v>
      </c>
      <c r="J46" s="11" t="n">
        <f aca="false">SUM(J9:J44)</f>
        <v>13022328</v>
      </c>
    </row>
    <row r="47" customFormat="false" ht="15" hidden="false" customHeight="false" outlineLevel="0" collapsed="false">
      <c r="I47" s="12" t="s">
        <v>98</v>
      </c>
      <c r="J47" s="13" t="n">
        <f aca="false">J46*0.18</f>
        <v>2344019.04</v>
      </c>
    </row>
    <row r="48" customFormat="false" ht="15" hidden="false" customHeight="false" outlineLevel="0" collapsed="false">
      <c r="I48" s="10" t="s">
        <v>99</v>
      </c>
      <c r="J48" s="11" t="n">
        <f aca="false">J46+J47</f>
        <v>15366347.04</v>
      </c>
    </row>
    <row r="50" customFormat="false" ht="15" hidden="false" customHeight="false" outlineLevel="0" collapsed="false">
      <c r="A50" s="14" t="s">
        <v>100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customFormat="false" ht="15" hidden="false" customHeight="false" outlineLevel="0" collapsed="false">
      <c r="A51" s="3" t="s">
        <v>101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false" outlineLevel="0" collapsed="false">
      <c r="A52" s="3" t="s">
        <v>102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false" outlineLevel="0" collapsed="false">
      <c r="A53" s="3" t="s">
        <v>103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false" outlineLevel="0" collapsed="false">
      <c r="A54" s="3" t="s">
        <v>104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3" t="s">
        <v>105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false" outlineLevel="0" collapsed="false">
      <c r="A56" s="3" t="s">
        <v>106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3" t="s">
        <v>107</v>
      </c>
      <c r="B57" s="3"/>
      <c r="C57" s="3"/>
      <c r="D57" s="3"/>
      <c r="E57" s="3"/>
      <c r="F57" s="3"/>
      <c r="G57" s="3"/>
      <c r="H57" s="3"/>
      <c r="I57" s="3"/>
      <c r="J57" s="3"/>
      <c r="K57" s="3"/>
    </row>
  </sheetData>
  <mergeCells count="20">
    <mergeCell ref="A1:K1"/>
    <mergeCell ref="A2:K2"/>
    <mergeCell ref="A3:K3"/>
    <mergeCell ref="A5:E5"/>
    <mergeCell ref="G5:K5"/>
    <mergeCell ref="A6:K6"/>
    <mergeCell ref="A9:K9"/>
    <mergeCell ref="A17:K17"/>
    <mergeCell ref="A23:K23"/>
    <mergeCell ref="A27:K27"/>
    <mergeCell ref="A33:K33"/>
    <mergeCell ref="A40:K40"/>
    <mergeCell ref="A50:K50"/>
    <mergeCell ref="A51:K51"/>
    <mergeCell ref="A52:K52"/>
    <mergeCell ref="A53:K53"/>
    <mergeCell ref="A54:K54"/>
    <mergeCell ref="A55:K55"/>
    <mergeCell ref="A56:K56"/>
    <mergeCell ref="A57:K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0" t="s">
        <v>108</v>
      </c>
      <c r="B1" s="10" t="s">
        <v>109</v>
      </c>
      <c r="C1" s="10" t="s">
        <v>110</v>
      </c>
    </row>
    <row r="2" customFormat="false" ht="22.35" hidden="false" customHeight="false" outlineLevel="0" collapsed="false">
      <c r="A2" s="15" t="s">
        <v>111</v>
      </c>
      <c r="B2" s="15" t="s">
        <v>112</v>
      </c>
      <c r="C2" s="15" t="s">
        <v>113</v>
      </c>
    </row>
    <row r="3" customFormat="false" ht="15" hidden="false" customHeight="false" outlineLevel="0" collapsed="false">
      <c r="A3" s="15" t="s">
        <v>114</v>
      </c>
      <c r="B3" s="15" t="s">
        <v>115</v>
      </c>
      <c r="C3" s="15" t="s">
        <v>116</v>
      </c>
    </row>
    <row r="4" customFormat="false" ht="15" hidden="false" customHeight="false" outlineLevel="0" collapsed="false">
      <c r="A4" s="15" t="s">
        <v>117</v>
      </c>
      <c r="B4" s="15" t="s">
        <v>118</v>
      </c>
      <c r="C4" s="15" t="s">
        <v>119</v>
      </c>
    </row>
    <row r="5" customFormat="false" ht="15" hidden="false" customHeight="false" outlineLevel="0" collapsed="false">
      <c r="A5" s="15" t="s">
        <v>120</v>
      </c>
      <c r="B5" s="15" t="s">
        <v>121</v>
      </c>
      <c r="C5" s="15" t="s">
        <v>122</v>
      </c>
    </row>
    <row r="6" customFormat="false" ht="15" hidden="false" customHeight="false" outlineLevel="0" collapsed="false">
      <c r="A6" s="15" t="s">
        <v>123</v>
      </c>
      <c r="B6" s="15" t="s">
        <v>124</v>
      </c>
      <c r="C6" s="15" t="s">
        <v>125</v>
      </c>
    </row>
    <row r="7" customFormat="false" ht="15" hidden="false" customHeight="false" outlineLevel="0" collapsed="false">
      <c r="A7" s="15" t="s">
        <v>126</v>
      </c>
      <c r="B7" s="15" t="s">
        <v>127</v>
      </c>
      <c r="C7" s="15" t="s">
        <v>128</v>
      </c>
    </row>
    <row r="8" customFormat="false" ht="15" hidden="false" customHeight="false" outlineLevel="0" collapsed="false">
      <c r="A8" s="15" t="s">
        <v>129</v>
      </c>
      <c r="B8" s="15" t="s">
        <v>130</v>
      </c>
      <c r="C8" s="15" t="s">
        <v>131</v>
      </c>
    </row>
    <row r="9" customFormat="false" ht="15" hidden="false" customHeight="false" outlineLevel="0" collapsed="false">
      <c r="A9" s="15" t="s">
        <v>132</v>
      </c>
      <c r="B9" s="15" t="s">
        <v>133</v>
      </c>
      <c r="C9" s="15" t="s">
        <v>134</v>
      </c>
    </row>
    <row r="10" customFormat="false" ht="15" hidden="false" customHeight="false" outlineLevel="0" collapsed="false">
      <c r="A10" s="15" t="s">
        <v>135</v>
      </c>
      <c r="B10" s="15" t="s">
        <v>136</v>
      </c>
      <c r="C10" s="15" t="s">
        <v>137</v>
      </c>
    </row>
    <row r="11" customFormat="false" ht="15" hidden="false" customHeight="false" outlineLevel="0" collapsed="false">
      <c r="A11" s="15" t="s">
        <v>138</v>
      </c>
      <c r="B11" s="15" t="s">
        <v>139</v>
      </c>
      <c r="C11" s="1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2026-09-24T16:17:16Z</dcterms:created>
  <dc:creator>openpyxl</dc:creator>
  <dc:description/>
  <dc:language>en-US</dc:language>
  <cp:lastModifiedBy/>
  <dcterms:modified xsi:type="dcterms:W3CDTF">2026-09-24T16:17:16Z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